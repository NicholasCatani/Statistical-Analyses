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Users\Nicho\Desktop\"/>
    </mc:Choice>
  </mc:AlternateContent>
  <xr:revisionPtr revIDLastSave="0" documentId="13_ncr:1_{AD93B9AF-AD53-47CB-AEB3-E52B8ED982BF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Linear Regress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0" i="1" l="1"/>
  <c r="H54" i="1"/>
  <c r="H53" i="1"/>
  <c r="I48" i="1"/>
  <c r="I47" i="1"/>
  <c r="I43" i="1"/>
  <c r="I42" i="1"/>
  <c r="I41" i="1"/>
  <c r="I36" i="1"/>
  <c r="C40" i="1"/>
  <c r="D38" i="1"/>
  <c r="D37" i="1"/>
  <c r="B33" i="1"/>
  <c r="B32" i="1"/>
  <c r="B31" i="1"/>
  <c r="B30" i="1"/>
  <c r="B23" i="1" a="1"/>
  <c r="B23" i="1" s="1"/>
  <c r="B28" i="1"/>
  <c r="C19" i="1" l="1"/>
  <c r="D19" i="1"/>
  <c r="E19" i="1"/>
  <c r="F19" i="1"/>
  <c r="B19" i="1"/>
  <c r="C18" i="1"/>
  <c r="D18" i="1"/>
  <c r="E18" i="1"/>
  <c r="F18" i="1"/>
  <c r="B18" i="1"/>
  <c r="C17" i="1"/>
  <c r="D17" i="1"/>
  <c r="E17" i="1"/>
  <c r="F17" i="1"/>
  <c r="B17" i="1"/>
  <c r="C16" i="1"/>
  <c r="D16" i="1"/>
  <c r="E16" i="1"/>
  <c r="F16" i="1"/>
  <c r="B16" i="1"/>
  <c r="F4" i="1"/>
  <c r="F5" i="1"/>
  <c r="F6" i="1"/>
  <c r="F7" i="1"/>
  <c r="F8" i="1"/>
  <c r="F9" i="1"/>
  <c r="F10" i="1"/>
  <c r="F11" i="1"/>
  <c r="F12" i="1"/>
  <c r="F13" i="1"/>
  <c r="F14" i="1"/>
  <c r="F3" i="1"/>
  <c r="E4" i="1"/>
  <c r="E5" i="1"/>
  <c r="E6" i="1"/>
  <c r="E7" i="1"/>
  <c r="E8" i="1"/>
  <c r="E9" i="1"/>
  <c r="E10" i="1"/>
  <c r="E11" i="1"/>
  <c r="E12" i="1"/>
  <c r="E13" i="1"/>
  <c r="E14" i="1"/>
  <c r="E3" i="1"/>
  <c r="D4" i="1"/>
  <c r="D5" i="1"/>
  <c r="D6" i="1"/>
  <c r="D7" i="1"/>
  <c r="D8" i="1"/>
  <c r="D9" i="1"/>
  <c r="D10" i="1"/>
  <c r="D11" i="1"/>
  <c r="D12" i="1"/>
  <c r="D13" i="1"/>
  <c r="D14" i="1"/>
  <c r="D3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<sst xmlns="http://schemas.openxmlformats.org/spreadsheetml/2006/main" count="70" uniqueCount="48">
  <si>
    <t>X</t>
  </si>
  <si>
    <t>Y</t>
  </si>
  <si>
    <t>X^2</t>
  </si>
  <si>
    <t>Y^2</t>
  </si>
  <si>
    <t>XY</t>
  </si>
  <si>
    <t>Mean</t>
  </si>
  <si>
    <t>Total</t>
  </si>
  <si>
    <t>Variance</t>
  </si>
  <si>
    <t>SD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</si>
  <si>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</si>
  <si>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</si>
  <si>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</si>
  <si>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</si>
  <si>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</si>
  <si>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</si>
  <si>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</si>
  <si>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</si>
  <si>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</si>
  <si>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</si>
  <si>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</si>
  <si>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</si>
  <si>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Slope</t>
  </si>
  <si>
    <t>Y-Intercept</t>
  </si>
  <si>
    <t>SE_b</t>
  </si>
  <si>
    <t>df</t>
  </si>
  <si>
    <t>t</t>
  </si>
  <si>
    <t>ME</t>
  </si>
  <si>
    <t>standard error of the slope</t>
  </si>
  <si>
    <t>degrees of freedom</t>
  </si>
  <si>
    <t>critical T-value</t>
  </si>
  <si>
    <t>margin of error</t>
  </si>
  <si>
    <t>Confidence interval for Slope at 90%</t>
  </si>
  <si>
    <t>Lower bound:</t>
  </si>
  <si>
    <t>Upper bound:</t>
  </si>
  <si>
    <t>Ho = 1</t>
  </si>
  <si>
    <t>Hi &gt; 1</t>
  </si>
  <si>
    <t>i do not reject the null hypothesis</t>
  </si>
  <si>
    <t>Predicted value</t>
  </si>
  <si>
    <t>SE_y_hat</t>
  </si>
  <si>
    <t>Mean_x</t>
  </si>
  <si>
    <t>x</t>
  </si>
  <si>
    <t>standard error of the estimate</t>
  </si>
  <si>
    <t>Confidence interval for Slope at 95% at x value 12</t>
  </si>
  <si>
    <t>Ho = 16.5</t>
  </si>
  <si>
    <t>Hi &gt; 16.5</t>
  </si>
  <si>
    <t>t_0.01</t>
  </si>
  <si>
    <t>t-statistic</t>
  </si>
  <si>
    <t>I do not reject the null hypothesis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</si>
</sst>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FFFFFF"/>
      <name val="Courier New"/>
      <family val="3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164" fontId="0" fillId="0" borderId="0" xfId="0" applyNumberFormat="1" applyAlignment="1">
      <alignment horizontal="center"/>
    </xf>
    <xf numFmtId="2" fontId="1" fillId="2" borderId="1" xfId="0" applyNumberFormat="1" applyFont="1" applyFill="1" applyBorder="1" applyAlignment="1">
      <alignment horizontal="center"/>
    </xf>
    <xf numFmtId="2" fontId="0" fillId="0" borderId="0" xfId="0" applyNumberFormat="1" applyAlignment="1">
      <alignment horizontal="center"/>
    </xf>
    <xf numFmtId="0" fontId="1" fillId="3" borderId="1" xfId="0" applyFont="1" applyFill="1" applyBorder="1"/>
    <xf numFmtId="165" fontId="1" fillId="3" borderId="1" xfId="0" applyNumberFormat="1" applyFont="1" applyFill="1" applyBorder="1"/>
    <xf numFmtId="165" fontId="0" fillId="0" borderId="0" xfId="0" applyNumberFormat="1" applyAlignment="1">
      <alignment horizontal="center"/>
    </xf>
    <xf numFmtId="165" fontId="0" fillId="0" borderId="0" xfId="0" applyNumberFormat="1"/>
    <xf numFmtId="2" fontId="1" fillId="3" borderId="1" xfId="0" applyNumberFormat="1" applyFont="1" applyFill="1" applyBorder="1"/>
    <xf numFmtId="2" fontId="0" fillId="0" borderId="0" xfId="0" applyNumberFormat="1"/>
    <xf numFmtId="0" fontId="2" fillId="0" borderId="4" xfId="0" applyFont="1" applyFill="1" applyBorder="1" applyAlignment="1">
      <alignment horizontal="centerContinuous"/>
    </xf>
    <xf numFmtId="0" fontId="2" fillId="0" borderId="5" xfId="0" applyFont="1" applyFill="1" applyBorder="1" applyAlignment="1">
      <alignment horizontal="centerContinuous"/>
    </xf>
    <xf numFmtId="0" fontId="0" fillId="0" borderId="6" xfId="0" applyFill="1" applyBorder="1" applyAlignment="1"/>
    <xf numFmtId="0" fontId="0" fillId="0" borderId="7" xfId="0" applyFill="1" applyBorder="1" applyAlignment="1"/>
    <xf numFmtId="0" fontId="0" fillId="0" borderId="8" xfId="0" applyFill="1" applyBorder="1" applyAlignment="1"/>
    <xf numFmtId="0" fontId="0" fillId="0" borderId="9" xfId="0" applyFill="1" applyBorder="1" applyAlignment="1"/>
    <xf numFmtId="2" fontId="1" fillId="4" borderId="4" xfId="0" applyNumberFormat="1" applyFont="1" applyFill="1" applyBorder="1" applyAlignment="1">
      <alignment horizontal="center"/>
    </xf>
    <xf numFmtId="2" fontId="1" fillId="4" borderId="5" xfId="0" applyNumberFormat="1" applyFont="1" applyFill="1" applyBorder="1" applyAlignment="1">
      <alignment horizontal="center"/>
    </xf>
    <xf numFmtId="0" fontId="1" fillId="0" borderId="0" xfId="0" applyFont="1" applyBorder="1" applyAlignment="1">
      <alignment horizontal="center"/>
    </xf>
    <xf numFmtId="2" fontId="0" fillId="0" borderId="0" xfId="0" applyNumberFormat="1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1" fillId="6" borderId="0" xfId="0" applyFont="1" applyFill="1" applyBorder="1" applyAlignment="1">
      <alignment horizontal="center"/>
    </xf>
    <xf numFmtId="0" fontId="0" fillId="0" borderId="10" xfId="0" applyBorder="1"/>
    <xf numFmtId="0" fontId="1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2" fontId="0" fillId="0" borderId="11" xfId="0" applyNumberFormat="1" applyBorder="1" applyAlignment="1">
      <alignment horizontal="center"/>
    </xf>
    <xf numFmtId="0" fontId="0" fillId="0" borderId="12" xfId="0" applyBorder="1"/>
    <xf numFmtId="0" fontId="0" fillId="0" borderId="0" xfId="0" applyBorder="1" applyAlignment="1">
      <alignment horizontal="center"/>
    </xf>
    <xf numFmtId="2" fontId="0" fillId="0" borderId="13" xfId="0" applyNumberFormat="1" applyBorder="1" applyAlignment="1">
      <alignment horizontal="center"/>
    </xf>
    <xf numFmtId="0" fontId="3" fillId="0" borderId="0" xfId="0" applyFont="1" applyBorder="1"/>
    <xf numFmtId="0" fontId="1" fillId="5" borderId="14" xfId="0" applyFont="1" applyFill="1" applyBorder="1" applyAlignment="1">
      <alignment horizontal="center"/>
    </xf>
    <xf numFmtId="0" fontId="1" fillId="0" borderId="13" xfId="0" applyFont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0" fontId="1" fillId="0" borderId="12" xfId="0" applyFont="1" applyBorder="1"/>
    <xf numFmtId="0" fontId="1" fillId="2" borderId="0" xfId="0" applyFont="1" applyFill="1" applyBorder="1" applyAlignment="1">
      <alignment horizontal="center"/>
    </xf>
    <xf numFmtId="0" fontId="1" fillId="0" borderId="15" xfId="0" applyFont="1" applyBorder="1"/>
    <xf numFmtId="0" fontId="0" fillId="0" borderId="3" xfId="0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0" xfId="0" applyNumberFormat="1" applyFont="1" applyBorder="1" applyAlignment="1">
      <alignment horizontal="right"/>
    </xf>
    <xf numFmtId="0" fontId="0" fillId="0" borderId="2" xfId="0" applyBorder="1"/>
    <xf numFmtId="0" fontId="0" fillId="0" borderId="11" xfId="0" applyBorder="1"/>
    <xf numFmtId="0" fontId="0" fillId="0" borderId="0" xfId="0" applyBorder="1"/>
    <xf numFmtId="2" fontId="0" fillId="0" borderId="0" xfId="0" applyNumberFormat="1" applyBorder="1"/>
    <xf numFmtId="0" fontId="0" fillId="0" borderId="13" xfId="0" applyBorder="1"/>
    <xf numFmtId="0" fontId="1" fillId="6" borderId="12" xfId="0" applyFont="1" applyFill="1" applyBorder="1" applyAlignment="1">
      <alignment horizontal="left"/>
    </xf>
    <xf numFmtId="165" fontId="0" fillId="0" borderId="0" xfId="0" applyNumberFormat="1" applyBorder="1"/>
    <xf numFmtId="0" fontId="0" fillId="2" borderId="0" xfId="0" applyFill="1" applyBorder="1"/>
    <xf numFmtId="2" fontId="0" fillId="0" borderId="3" xfId="0" applyNumberFormat="1" applyBorder="1"/>
    <xf numFmtId="0" fontId="0" fillId="0" borderId="3" xfId="0" applyBorder="1"/>
    <xf numFmtId="0" fontId="0" fillId="0" borderId="16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Regression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'Linear Regression'!$C$2</c:f>
              <c:strCache>
                <c:ptCount val="1"/>
                <c:pt idx="0">
                  <c:v>Y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trendline>
            <c:spPr>
              <a:ln w="19050" cap="rnd">
                <a:solidFill>
                  <a:schemeClr val="accent1"/>
                </a:solidFill>
                <a:prstDash val="sysDash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ash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ash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ash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ash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ash"/>
              </a:ln>
              <a:effectLst/>
            </c:spPr>
            <c:trendlineType val="exp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ash"/>
              </a:ln>
              <a:effectLst/>
            </c:spPr>
            <c:trendlineType val="linear"/>
            <c:forward val="2"/>
            <c:dispRSqr val="0"/>
            <c:dispEq val="0"/>
          </c:trendline>
          <c:trendline>
            <c:spPr>
              <a:ln w="19050" cap="rnd">
                <a:solidFill>
                  <a:srgbClr val="FF0000">
                    <a:alpha val="52000"/>
                  </a:srgbClr>
                </a:solidFill>
                <a:prstDash val="solid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5106646280902132"/>
                  <c:y val="3.337201127603501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chemeClr val="l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'Linear Regression'!$B$3:$B$14</c:f>
              <c:numCache>
                <c:formatCode>General</c:formatCode>
                <c:ptCount val="12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  <c:pt idx="11">
                  <c:v>21</c:v>
                </c:pt>
              </c:numCache>
            </c:numRef>
          </c:xVal>
          <c:yVal>
            <c:numRef>
              <c:f>'Linear Regression'!$C$3:$C$14</c:f>
              <c:numCache>
                <c:formatCode>General</c:formatCode>
                <c:ptCount val="12"/>
                <c:pt idx="0">
                  <c:v>14.08</c:v>
                </c:pt>
                <c:pt idx="1">
                  <c:v>15.57</c:v>
                </c:pt>
                <c:pt idx="2">
                  <c:v>16.940000000000001</c:v>
                </c:pt>
                <c:pt idx="3">
                  <c:v>17.68</c:v>
                </c:pt>
                <c:pt idx="4">
                  <c:v>18.489999999999998</c:v>
                </c:pt>
                <c:pt idx="5">
                  <c:v>19.55</c:v>
                </c:pt>
                <c:pt idx="6">
                  <c:v>20.68</c:v>
                </c:pt>
                <c:pt idx="7">
                  <c:v>21.72</c:v>
                </c:pt>
                <c:pt idx="8">
                  <c:v>22.8</c:v>
                </c:pt>
                <c:pt idx="9">
                  <c:v>23.84</c:v>
                </c:pt>
                <c:pt idx="10">
                  <c:v>24.79</c:v>
                </c:pt>
                <c:pt idx="11">
                  <c:v>25.67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335-466A-96F6-C686928A44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9800495"/>
        <c:axId val="1622488415"/>
      </c:scatterChart>
      <c:valAx>
        <c:axId val="449800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2488415"/>
        <c:crosses val="autoZero"/>
        <c:crossBetween val="midCat"/>
      </c:valAx>
      <c:valAx>
        <c:axId val="1622488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98004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285750</xdr:colOff>
      <xdr:row>0</xdr:row>
      <xdr:rowOff>176212</xdr:rowOff>
    </xdr:from>
    <xdr:to>
      <xdr:col>12</xdr:col>
      <xdr:colOff>142876</xdr:colOff>
      <xdr:row>13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25043A7-60BA-AF35-E7E6-6001A36B27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54"/>
  <sheetViews>
    <sheetView tabSelected="1" topLeftCell="A24" workbookViewId="0">
      <selection activeCell="E50" sqref="E50"/>
    </sheetView>
  </sheetViews>
  <sheetFormatPr defaultRowHeight="15" x14ac:dyDescent="0.25"/>
  <cols>
    <col min="2" max="2" width="11.140625" style="1" customWidth="1"/>
    <col min="3" max="3" width="10.42578125" style="1" customWidth="1"/>
    <col min="4" max="4" width="9.140625" style="1"/>
    <col min="5" max="5" width="9.140625" style="5"/>
    <col min="6" max="6" width="9.140625" style="1"/>
    <col min="8" max="8" width="17.5703125" customWidth="1"/>
    <col min="11" max="11" width="17.7109375" customWidth="1"/>
  </cols>
  <sheetData>
    <row r="2" spans="1:6" x14ac:dyDescent="0.25">
      <c r="B2" s="2" t="s">
        <v>0</v>
      </c>
      <c r="C2" s="2" t="s">
        <v>1</v>
      </c>
      <c r="D2" s="2" t="s">
        <v>2</v>
      </c>
      <c r="E2" s="4" t="s">
        <v>3</v>
      </c>
      <c r="F2" s="2" t="s">
        <v>4</v>
      </c>
    </row>
    <row r="3" spans="1:6" x14ac:dyDescent="0.25">
      <c r="B3" s="1">
        <v>10</v>
      </c>
      <c r="C3" s="1">
        <v>14.08</v>
      </c>
      <c r="D3" s="1">
        <f>B3^2</f>
        <v>100</v>
      </c>
      <c r="E3" s="5">
        <f>C3^2</f>
        <v>198.24639999999999</v>
      </c>
      <c r="F3" s="1">
        <f>B3*C3</f>
        <v>140.80000000000001</v>
      </c>
    </row>
    <row r="4" spans="1:6" x14ac:dyDescent="0.25">
      <c r="B4" s="1">
        <v>11</v>
      </c>
      <c r="C4" s="1">
        <v>15.57</v>
      </c>
      <c r="D4" s="1">
        <f t="shared" ref="D4:D14" si="0">B4^2</f>
        <v>121</v>
      </c>
      <c r="E4" s="5">
        <f t="shared" ref="E4:E14" si="1">C4^2</f>
        <v>242.42490000000001</v>
      </c>
      <c r="F4" s="1">
        <f t="shared" ref="F4:F14" si="2">B4*C4</f>
        <v>171.27</v>
      </c>
    </row>
    <row r="5" spans="1:6" x14ac:dyDescent="0.25">
      <c r="B5" s="1">
        <v>12</v>
      </c>
      <c r="C5" s="1">
        <v>16.940000000000001</v>
      </c>
      <c r="D5" s="1">
        <f t="shared" si="0"/>
        <v>144</v>
      </c>
      <c r="E5" s="5">
        <f t="shared" si="1"/>
        <v>286.96360000000004</v>
      </c>
      <c r="F5" s="1">
        <f t="shared" si="2"/>
        <v>203.28000000000003</v>
      </c>
    </row>
    <row r="6" spans="1:6" x14ac:dyDescent="0.25">
      <c r="B6" s="1">
        <v>13</v>
      </c>
      <c r="C6" s="1">
        <v>17.68</v>
      </c>
      <c r="D6" s="1">
        <f t="shared" si="0"/>
        <v>169</v>
      </c>
      <c r="E6" s="5">
        <f t="shared" si="1"/>
        <v>312.58240000000001</v>
      </c>
      <c r="F6" s="1">
        <f t="shared" si="2"/>
        <v>229.84</v>
      </c>
    </row>
    <row r="7" spans="1:6" x14ac:dyDescent="0.25">
      <c r="B7" s="1">
        <v>14</v>
      </c>
      <c r="C7" s="1">
        <v>18.489999999999998</v>
      </c>
      <c r="D7" s="1">
        <f t="shared" si="0"/>
        <v>196</v>
      </c>
      <c r="E7" s="5">
        <f t="shared" si="1"/>
        <v>341.88009999999997</v>
      </c>
      <c r="F7" s="1">
        <f t="shared" si="2"/>
        <v>258.85999999999996</v>
      </c>
    </row>
    <row r="8" spans="1:6" x14ac:dyDescent="0.25">
      <c r="B8" s="1">
        <v>15</v>
      </c>
      <c r="C8" s="1">
        <v>19.55</v>
      </c>
      <c r="D8" s="1">
        <f t="shared" si="0"/>
        <v>225</v>
      </c>
      <c r="E8" s="5">
        <f t="shared" si="1"/>
        <v>382.20250000000004</v>
      </c>
      <c r="F8" s="1">
        <f t="shared" si="2"/>
        <v>293.25</v>
      </c>
    </row>
    <row r="9" spans="1:6" x14ac:dyDescent="0.25">
      <c r="B9" s="1">
        <v>16</v>
      </c>
      <c r="C9" s="1">
        <v>20.68</v>
      </c>
      <c r="D9" s="1">
        <f t="shared" si="0"/>
        <v>256</v>
      </c>
      <c r="E9" s="5">
        <f t="shared" si="1"/>
        <v>427.66239999999999</v>
      </c>
      <c r="F9" s="1">
        <f t="shared" si="2"/>
        <v>330.88</v>
      </c>
    </row>
    <row r="10" spans="1:6" x14ac:dyDescent="0.25">
      <c r="B10" s="1">
        <v>17</v>
      </c>
      <c r="C10" s="1">
        <v>21.72</v>
      </c>
      <c r="D10" s="1">
        <f t="shared" si="0"/>
        <v>289</v>
      </c>
      <c r="E10" s="5">
        <f t="shared" si="1"/>
        <v>471.75839999999994</v>
      </c>
      <c r="F10" s="1">
        <f t="shared" si="2"/>
        <v>369.24</v>
      </c>
    </row>
    <row r="11" spans="1:6" x14ac:dyDescent="0.25">
      <c r="B11" s="1">
        <v>18</v>
      </c>
      <c r="C11" s="1">
        <v>22.8</v>
      </c>
      <c r="D11" s="1">
        <f t="shared" si="0"/>
        <v>324</v>
      </c>
      <c r="E11" s="5">
        <f t="shared" si="1"/>
        <v>519.84</v>
      </c>
      <c r="F11" s="1">
        <f t="shared" si="2"/>
        <v>410.40000000000003</v>
      </c>
    </row>
    <row r="12" spans="1:6" x14ac:dyDescent="0.25">
      <c r="B12" s="1">
        <v>19</v>
      </c>
      <c r="C12" s="1">
        <v>23.84</v>
      </c>
      <c r="D12" s="1">
        <f t="shared" si="0"/>
        <v>361</v>
      </c>
      <c r="E12" s="5">
        <f t="shared" si="1"/>
        <v>568.34559999999999</v>
      </c>
      <c r="F12" s="1">
        <f t="shared" si="2"/>
        <v>452.96</v>
      </c>
    </row>
    <row r="13" spans="1:6" x14ac:dyDescent="0.25">
      <c r="B13" s="1">
        <v>20</v>
      </c>
      <c r="C13" s="1">
        <v>24.79</v>
      </c>
      <c r="D13" s="1">
        <f t="shared" si="0"/>
        <v>400</v>
      </c>
      <c r="E13" s="5">
        <f t="shared" si="1"/>
        <v>614.54409999999996</v>
      </c>
      <c r="F13" s="1">
        <f t="shared" si="2"/>
        <v>495.79999999999995</v>
      </c>
    </row>
    <row r="14" spans="1:6" x14ac:dyDescent="0.25">
      <c r="B14" s="1">
        <v>21</v>
      </c>
      <c r="C14" s="1">
        <v>25.67</v>
      </c>
      <c r="D14" s="1">
        <f t="shared" si="0"/>
        <v>441</v>
      </c>
      <c r="E14" s="5">
        <f t="shared" si="1"/>
        <v>658.94890000000009</v>
      </c>
      <c r="F14" s="1">
        <f t="shared" si="2"/>
        <v>539.07000000000005</v>
      </c>
    </row>
    <row r="16" spans="1:6" x14ac:dyDescent="0.25">
      <c r="A16" s="6" t="s">
        <v>6</v>
      </c>
      <c r="B16" s="1">
        <f>SUM(B3:B14)</f>
        <v>186</v>
      </c>
      <c r="C16" s="1">
        <f t="shared" ref="C16:F16" si="3">SUM(C3:C14)</f>
        <v>241.81</v>
      </c>
      <c r="D16" s="1">
        <f t="shared" si="3"/>
        <v>3026</v>
      </c>
      <c r="E16" s="1">
        <f t="shared" si="3"/>
        <v>5025.3993</v>
      </c>
      <c r="F16" s="1">
        <f t="shared" si="3"/>
        <v>3895.65</v>
      </c>
    </row>
    <row r="17" spans="1:12" s="9" customFormat="1" x14ac:dyDescent="0.25">
      <c r="A17" s="7" t="s">
        <v>5</v>
      </c>
      <c r="B17" s="3">
        <f>B16/12</f>
        <v>15.5</v>
      </c>
      <c r="C17" s="8">
        <f t="shared" ref="C17:F17" si="4">C16/12</f>
        <v>20.150833333333335</v>
      </c>
      <c r="D17" s="8">
        <f t="shared" si="4"/>
        <v>252.16666666666666</v>
      </c>
      <c r="E17" s="8">
        <f t="shared" si="4"/>
        <v>418.783275</v>
      </c>
      <c r="F17" s="8">
        <f t="shared" si="4"/>
        <v>324.63749999999999</v>
      </c>
    </row>
    <row r="18" spans="1:12" s="11" customFormat="1" x14ac:dyDescent="0.25">
      <c r="A18" s="10" t="s">
        <v>7</v>
      </c>
      <c r="B18" s="5">
        <f>VAR(B3:B14)</f>
        <v>13</v>
      </c>
      <c r="C18" s="5">
        <f t="shared" ref="C18:F18" si="5">VAR(C3:C14)</f>
        <v>13.884208333333349</v>
      </c>
      <c r="D18" s="5">
        <f t="shared" si="5"/>
        <v>12614.33333333333</v>
      </c>
      <c r="E18" s="5">
        <f t="shared" si="5"/>
        <v>22464.952286631124</v>
      </c>
      <c r="F18" s="5">
        <f t="shared" si="5"/>
        <v>17042.90914772726</v>
      </c>
      <c r="H18" s="12" t="s">
        <v>0</v>
      </c>
      <c r="I18" s="13"/>
      <c r="K18" s="12" t="s">
        <v>1</v>
      </c>
      <c r="L18" s="13"/>
    </row>
    <row r="19" spans="1:12" s="11" customFormat="1" x14ac:dyDescent="0.25">
      <c r="A19" s="10" t="s">
        <v>8</v>
      </c>
      <c r="B19" s="5">
        <f>STDEV(B3:B14)</f>
        <v>3.6055512754639891</v>
      </c>
      <c r="C19" s="5">
        <f t="shared" ref="C19:F19" si="6">STDEV(C3:C14)</f>
        <v>3.7261519471612199</v>
      </c>
      <c r="D19" s="5">
        <f t="shared" si="6"/>
        <v>112.31354919747363</v>
      </c>
      <c r="E19" s="5">
        <f t="shared" si="6"/>
        <v>149.8831287591473</v>
      </c>
      <c r="F19" s="5">
        <f t="shared" si="6"/>
        <v>130.54849347168761</v>
      </c>
      <c r="H19" s="14"/>
      <c r="I19" s="15"/>
      <c r="K19" s="14"/>
      <c r="L19" s="15"/>
    </row>
    <row r="20" spans="1:12" x14ac:dyDescent="0.25">
      <c r="H20" s="14" t="s">
        <v>5</v>
      </c>
      <c r="I20" s="15">
        <v>15.5</v>
      </c>
      <c r="K20" s="14" t="s">
        <v>5</v>
      </c>
      <c r="L20" s="15">
        <v>20.150833333333335</v>
      </c>
    </row>
    <row r="21" spans="1:12" ht="15.75" thickBot="1" x14ac:dyDescent="0.3">
      <c r="H21" s="14" t="s">
        <v>9</v>
      </c>
      <c r="I21" s="15">
        <v>1.0408329997330663</v>
      </c>
      <c r="K21" s="14" t="s">
        <v>9</v>
      </c>
      <c r="L21" s="15">
        <v>1.0756474148674893</v>
      </c>
    </row>
    <row r="22" spans="1:12" x14ac:dyDescent="0.25">
      <c r="A22" s="24"/>
      <c r="B22" s="25" t="s">
        <v>21</v>
      </c>
      <c r="C22" s="25" t="s">
        <v>22</v>
      </c>
      <c r="D22" s="26"/>
      <c r="E22" s="27"/>
      <c r="H22" s="14" t="s">
        <v>10</v>
      </c>
      <c r="I22" s="15">
        <v>15.5</v>
      </c>
      <c r="K22" s="14" t="s">
        <v>10</v>
      </c>
      <c r="L22" s="15">
        <v>20.115000000000002</v>
      </c>
    </row>
    <row r="23" spans="1:12" x14ac:dyDescent="0.25">
      <c r="A23" s="28"/>
      <c r="B23" s="18" cm="1">
        <f t="array" ref="B23:C27">LINEST(C3:C14, B3:B14, TRUE, TRUE)</f>
        <v>1.0321328671328671</v>
      </c>
      <c r="C23" s="19">
        <v>4.1527738927738937</v>
      </c>
      <c r="D23" s="29"/>
      <c r="E23" s="30"/>
      <c r="H23" s="14" t="s">
        <v>11</v>
      </c>
      <c r="I23" s="15" t="e">
        <v>#N/A</v>
      </c>
      <c r="K23" s="14" t="s">
        <v>11</v>
      </c>
      <c r="L23" s="15" t="e">
        <v>#N/A</v>
      </c>
    </row>
    <row r="24" spans="1:12" x14ac:dyDescent="0.25">
      <c r="A24" s="28"/>
      <c r="B24" s="31">
        <v>1.6485661118417125E-2</v>
      </c>
      <c r="C24" s="29">
        <v>0.26178828438886198</v>
      </c>
      <c r="D24" s="29"/>
      <c r="E24" s="30"/>
      <c r="H24" s="14" t="s">
        <v>12</v>
      </c>
      <c r="I24" s="15">
        <v>3.6055512754639891</v>
      </c>
      <c r="K24" s="14" t="s">
        <v>12</v>
      </c>
      <c r="L24" s="15">
        <v>3.7261519471612199</v>
      </c>
    </row>
    <row r="25" spans="1:12" x14ac:dyDescent="0.25">
      <c r="A25" s="28"/>
      <c r="B25" s="29">
        <v>0.99745530950859873</v>
      </c>
      <c r="C25" s="29">
        <v>0.19713983417644057</v>
      </c>
      <c r="D25" s="29"/>
      <c r="E25" s="30"/>
      <c r="H25" s="14" t="s">
        <v>13</v>
      </c>
      <c r="I25" s="15">
        <v>13</v>
      </c>
      <c r="K25" s="14" t="s">
        <v>13</v>
      </c>
      <c r="L25" s="15">
        <v>13.884208333333349</v>
      </c>
    </row>
    <row r="26" spans="1:12" x14ac:dyDescent="0.25">
      <c r="A26" s="28"/>
      <c r="B26" s="29">
        <v>3919.7509987131398</v>
      </c>
      <c r="C26" s="29">
        <v>10</v>
      </c>
      <c r="D26" s="29"/>
      <c r="E26" s="30"/>
      <c r="H26" s="14" t="s">
        <v>14</v>
      </c>
      <c r="I26" s="15">
        <v>-1.1999999999999997</v>
      </c>
      <c r="K26" s="14" t="s">
        <v>14</v>
      </c>
      <c r="L26" s="15">
        <v>-1.1056343759035037</v>
      </c>
    </row>
    <row r="27" spans="1:12" x14ac:dyDescent="0.25">
      <c r="A27" s="28"/>
      <c r="B27" s="29">
        <v>152.33765052447555</v>
      </c>
      <c r="C27" s="29">
        <v>0.38864114219114487</v>
      </c>
      <c r="D27" s="29"/>
      <c r="E27" s="30"/>
      <c r="H27" s="14" t="s">
        <v>15</v>
      </c>
      <c r="I27" s="15">
        <v>-4.8446095620006829E-17</v>
      </c>
      <c r="K27" s="14" t="s">
        <v>15</v>
      </c>
      <c r="L27" s="15">
        <v>-6.7629403763107068E-2</v>
      </c>
    </row>
    <row r="28" spans="1:12" x14ac:dyDescent="0.25">
      <c r="A28" s="28"/>
      <c r="B28" s="31">
        <f>INDEX(LINEST(C3:C14, B3:B14, TRUE, TRUE), 2, 2)</f>
        <v>0.26178828438886198</v>
      </c>
      <c r="C28" s="29"/>
      <c r="D28" s="29"/>
      <c r="E28" s="30"/>
      <c r="H28" s="14" t="s">
        <v>16</v>
      </c>
      <c r="I28" s="15">
        <v>11</v>
      </c>
      <c r="K28" s="14" t="s">
        <v>16</v>
      </c>
      <c r="L28" s="15">
        <v>11.590000000000002</v>
      </c>
    </row>
    <row r="29" spans="1:12" x14ac:dyDescent="0.25">
      <c r="A29" s="28"/>
      <c r="B29" s="29"/>
      <c r="C29" s="29"/>
      <c r="D29" s="29"/>
      <c r="E29" s="30"/>
      <c r="H29" s="14" t="s">
        <v>17</v>
      </c>
      <c r="I29" s="15">
        <v>10</v>
      </c>
      <c r="K29" s="14" t="s">
        <v>17</v>
      </c>
      <c r="L29" s="15">
        <v>14.08</v>
      </c>
    </row>
    <row r="30" spans="1:12" x14ac:dyDescent="0.25">
      <c r="A30" s="32" t="s">
        <v>23</v>
      </c>
      <c r="B30" s="21">
        <f>INDEX(LINEST(C3:C14, B3:B14, TRUE, TRUE), 2, 2)</f>
        <v>0.26178828438886198</v>
      </c>
      <c r="C30" s="29"/>
      <c r="D30" s="22" t="s">
        <v>27</v>
      </c>
      <c r="E30" s="33"/>
      <c r="F30" s="20"/>
      <c r="H30" s="14" t="s">
        <v>18</v>
      </c>
      <c r="I30" s="15">
        <v>21</v>
      </c>
      <c r="K30" s="14" t="s">
        <v>18</v>
      </c>
      <c r="L30" s="15">
        <v>25.67</v>
      </c>
    </row>
    <row r="31" spans="1:12" x14ac:dyDescent="0.25">
      <c r="A31" s="32" t="s">
        <v>24</v>
      </c>
      <c r="B31" s="22">
        <f>COUNT(B3:B14) - 2</f>
        <v>10</v>
      </c>
      <c r="C31" s="29"/>
      <c r="D31" s="29" t="s">
        <v>28</v>
      </c>
      <c r="E31" s="30"/>
      <c r="H31" s="14" t="s">
        <v>19</v>
      </c>
      <c r="I31" s="15">
        <v>186</v>
      </c>
      <c r="K31" s="14" t="s">
        <v>19</v>
      </c>
      <c r="L31" s="15">
        <v>241.81</v>
      </c>
    </row>
    <row r="32" spans="1:12" x14ac:dyDescent="0.25">
      <c r="A32" s="32" t="s">
        <v>25</v>
      </c>
      <c r="B32" s="34">
        <f>_xlfn.T.INV.2T(0.05, B31)</f>
        <v>2.2281388519862744</v>
      </c>
      <c r="C32" s="29"/>
      <c r="D32" s="29" t="s">
        <v>29</v>
      </c>
      <c r="E32" s="30"/>
      <c r="H32" s="16" t="s">
        <v>20</v>
      </c>
      <c r="I32" s="17">
        <v>12</v>
      </c>
      <c r="K32" s="16" t="s">
        <v>20</v>
      </c>
      <c r="L32" s="17">
        <v>12</v>
      </c>
    </row>
    <row r="33" spans="1:13" x14ac:dyDescent="0.25">
      <c r="A33" s="32" t="s">
        <v>26</v>
      </c>
      <c r="B33" s="34">
        <f>B32*B30</f>
        <v>0.58330064744165522</v>
      </c>
      <c r="C33" s="29"/>
      <c r="D33" s="29" t="s">
        <v>30</v>
      </c>
      <c r="E33" s="30"/>
    </row>
    <row r="34" spans="1:13" ht="15.75" thickBot="1" x14ac:dyDescent="0.3">
      <c r="A34" s="28"/>
      <c r="B34" s="29"/>
      <c r="C34" s="29"/>
      <c r="D34" s="29"/>
      <c r="E34" s="30"/>
    </row>
    <row r="35" spans="1:13" x14ac:dyDescent="0.25">
      <c r="A35" s="28"/>
      <c r="B35" s="29"/>
      <c r="C35" s="23" t="s">
        <v>31</v>
      </c>
      <c r="D35" s="29"/>
      <c r="E35" s="30"/>
      <c r="G35" s="24"/>
      <c r="H35" s="41"/>
      <c r="I35" s="41"/>
      <c r="J35" s="41"/>
      <c r="K35" s="41"/>
      <c r="L35" s="41"/>
      <c r="M35" s="42"/>
    </row>
    <row r="36" spans="1:13" x14ac:dyDescent="0.25">
      <c r="A36" s="28"/>
      <c r="B36" s="29"/>
      <c r="C36" s="29"/>
      <c r="D36" s="29"/>
      <c r="E36" s="30"/>
      <c r="G36" s="35" t="s">
        <v>37</v>
      </c>
      <c r="H36" s="43"/>
      <c r="I36" s="44">
        <f>C23 + B23*12</f>
        <v>16.538368298368297</v>
      </c>
      <c r="J36" s="43"/>
      <c r="K36" s="43"/>
      <c r="L36" s="43"/>
      <c r="M36" s="45"/>
    </row>
    <row r="37" spans="1:13" x14ac:dyDescent="0.25">
      <c r="A37" s="28" t="s">
        <v>32</v>
      </c>
      <c r="B37" s="29"/>
      <c r="C37" s="29"/>
      <c r="D37" s="34">
        <f>B23 - B33</f>
        <v>0.4488322196912119</v>
      </c>
      <c r="E37" s="30"/>
      <c r="G37" s="46" t="s">
        <v>23</v>
      </c>
      <c r="H37" s="43"/>
      <c r="I37" s="40">
        <v>0.26</v>
      </c>
      <c r="J37" s="43"/>
      <c r="K37" s="43" t="s">
        <v>27</v>
      </c>
      <c r="L37" s="43"/>
      <c r="M37" s="45"/>
    </row>
    <row r="38" spans="1:13" x14ac:dyDescent="0.25">
      <c r="A38" s="28" t="s">
        <v>33</v>
      </c>
      <c r="B38" s="29"/>
      <c r="C38" s="29"/>
      <c r="D38" s="34">
        <f>B23 + B33</f>
        <v>1.6154335145745224</v>
      </c>
      <c r="E38" s="30"/>
      <c r="G38" s="35" t="s">
        <v>39</v>
      </c>
      <c r="H38" s="43"/>
      <c r="I38" s="43">
        <v>15.5</v>
      </c>
      <c r="J38" s="43"/>
      <c r="K38" s="43"/>
      <c r="L38" s="43"/>
      <c r="M38" s="45"/>
    </row>
    <row r="39" spans="1:13" x14ac:dyDescent="0.25">
      <c r="A39" s="28"/>
      <c r="B39" s="29"/>
      <c r="C39" s="29"/>
      <c r="D39" s="29"/>
      <c r="E39" s="30"/>
      <c r="G39" s="35" t="s">
        <v>40</v>
      </c>
      <c r="H39" s="43"/>
      <c r="I39" s="43">
        <v>12</v>
      </c>
      <c r="J39" s="43"/>
      <c r="K39" s="43"/>
      <c r="L39" s="43"/>
      <c r="M39" s="45"/>
    </row>
    <row r="40" spans="1:13" x14ac:dyDescent="0.25">
      <c r="A40" s="35" t="s">
        <v>34</v>
      </c>
      <c r="B40" s="29"/>
      <c r="C40" s="36" t="b">
        <f>ABS((B23 - 1)/B30) &gt; B32</f>
        <v>0</v>
      </c>
      <c r="D40" s="29"/>
      <c r="E40" s="30"/>
      <c r="G40" s="28"/>
      <c r="H40" s="43"/>
      <c r="I40" s="43"/>
      <c r="J40" s="43"/>
      <c r="K40" s="43"/>
      <c r="L40" s="43"/>
      <c r="M40" s="45"/>
    </row>
    <row r="41" spans="1:13" ht="15.75" thickBot="1" x14ac:dyDescent="0.3">
      <c r="A41" s="37" t="s">
        <v>35</v>
      </c>
      <c r="B41" s="38"/>
      <c r="C41" s="38" t="s">
        <v>36</v>
      </c>
      <c r="D41" s="38"/>
      <c r="E41" s="39"/>
      <c r="G41" s="35" t="s">
        <v>38</v>
      </c>
      <c r="H41" s="43"/>
      <c r="I41" s="47">
        <f>I37*SQRT(1+1/12+(12-I38)^2/(B16-I38)^2)</f>
        <v>0.27066920678286061</v>
      </c>
      <c r="J41" s="43"/>
      <c r="K41" s="43" t="s">
        <v>41</v>
      </c>
      <c r="L41" s="43"/>
      <c r="M41" s="45"/>
    </row>
    <row r="42" spans="1:13" x14ac:dyDescent="0.25">
      <c r="G42" s="35" t="s">
        <v>25</v>
      </c>
      <c r="H42" s="43"/>
      <c r="I42" s="44">
        <f>_xlfn.T.INV.2T(0.025, B31)</f>
        <v>2.6337669157115977</v>
      </c>
      <c r="J42" s="43"/>
      <c r="K42" s="43"/>
      <c r="L42" s="43"/>
      <c r="M42" s="45"/>
    </row>
    <row r="43" spans="1:13" x14ac:dyDescent="0.25">
      <c r="G43" s="35" t="s">
        <v>26</v>
      </c>
      <c r="H43" s="43"/>
      <c r="I43" s="44">
        <f>I41 * I42</f>
        <v>0.71287960192659949</v>
      </c>
      <c r="J43" s="43"/>
      <c r="K43" s="43"/>
      <c r="L43" s="43"/>
      <c r="M43" s="45"/>
    </row>
    <row r="44" spans="1:13" x14ac:dyDescent="0.25">
      <c r="G44" s="28"/>
      <c r="H44" s="43"/>
      <c r="I44" s="43"/>
      <c r="J44" s="43"/>
      <c r="K44" s="43"/>
      <c r="L44" s="43"/>
      <c r="M44" s="45"/>
    </row>
    <row r="45" spans="1:13" x14ac:dyDescent="0.25">
      <c r="G45" s="28"/>
      <c r="H45" s="43"/>
      <c r="I45" s="23" t="s">
        <v>42</v>
      </c>
      <c r="J45" s="43"/>
      <c r="K45" s="43"/>
      <c r="L45" s="43"/>
      <c r="M45" s="45"/>
    </row>
    <row r="46" spans="1:13" x14ac:dyDescent="0.25">
      <c r="G46" s="28"/>
      <c r="H46" s="43"/>
      <c r="I46" s="43"/>
      <c r="J46" s="43"/>
      <c r="K46" s="43"/>
      <c r="L46" s="43"/>
      <c r="M46" s="45"/>
    </row>
    <row r="47" spans="1:13" x14ac:dyDescent="0.25">
      <c r="G47" s="28" t="s">
        <v>32</v>
      </c>
      <c r="H47" s="43"/>
      <c r="I47" s="44">
        <f>I36 - I43</f>
        <v>15.825488696441697</v>
      </c>
      <c r="J47" s="43"/>
      <c r="K47" s="43"/>
      <c r="L47" s="43"/>
      <c r="M47" s="45"/>
    </row>
    <row r="48" spans="1:13" x14ac:dyDescent="0.25">
      <c r="G48" s="28" t="s">
        <v>33</v>
      </c>
      <c r="H48" s="43"/>
      <c r="I48" s="44">
        <f>I36 + I43</f>
        <v>17.251247900294896</v>
      </c>
      <c r="J48" s="43"/>
      <c r="K48" s="43"/>
      <c r="L48" s="43"/>
      <c r="M48" s="45"/>
    </row>
    <row r="49" spans="7:13" x14ac:dyDescent="0.25">
      <c r="G49" s="28"/>
      <c r="H49" s="43"/>
      <c r="I49" s="43"/>
      <c r="J49" s="43"/>
      <c r="K49" s="43"/>
      <c r="L49" s="43"/>
      <c r="M49" s="45"/>
    </row>
    <row r="50" spans="7:13" x14ac:dyDescent="0.25">
      <c r="G50" s="28" t="s">
        <v>43</v>
      </c>
      <c r="H50" s="43"/>
      <c r="I50" s="48" t="b">
        <f>ABS(H54) &gt; H53</f>
        <v>0</v>
      </c>
      <c r="J50" s="43"/>
      <c r="K50" s="43"/>
      <c r="L50" s="43"/>
      <c r="M50" s="45"/>
    </row>
    <row r="51" spans="7:13" x14ac:dyDescent="0.25">
      <c r="G51" s="28" t="s">
        <v>44</v>
      </c>
      <c r="H51" s="43"/>
      <c r="I51" s="43" t="s">
        <v>47</v>
      </c>
      <c r="J51" s="43"/>
      <c r="K51" s="43"/>
      <c r="L51" s="43"/>
      <c r="M51" s="45"/>
    </row>
    <row r="52" spans="7:13" x14ac:dyDescent="0.25">
      <c r="G52" s="28"/>
      <c r="H52" s="43"/>
      <c r="I52" s="43"/>
      <c r="J52" s="43"/>
      <c r="K52" s="43"/>
      <c r="L52" s="43"/>
      <c r="M52" s="45"/>
    </row>
    <row r="53" spans="7:13" x14ac:dyDescent="0.25">
      <c r="G53" s="35" t="s">
        <v>45</v>
      </c>
      <c r="H53" s="44">
        <f>_xlfn.T.INV.2T(0.01, B31)</f>
        <v>3.1692726726169518</v>
      </c>
      <c r="I53" s="43"/>
      <c r="J53" s="43"/>
      <c r="K53" s="43"/>
      <c r="L53" s="43"/>
      <c r="M53" s="45"/>
    </row>
    <row r="54" spans="7:13" ht="15.75" thickBot="1" x14ac:dyDescent="0.3">
      <c r="G54" s="37" t="s">
        <v>46</v>
      </c>
      <c r="H54" s="49">
        <f>(I36 - 16.5)/I41</f>
        <v>0.14175346661830512</v>
      </c>
      <c r="I54" s="50"/>
      <c r="J54" s="50"/>
      <c r="K54" s="50"/>
      <c r="L54" s="50"/>
      <c r="M54" s="5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Linear Regression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Catani</dc:creator>
  <cp:lastModifiedBy>Nicholas Catani</cp:lastModifiedBy>
  <dcterms:created xsi:type="dcterms:W3CDTF">2015-06-05T18:17:20Z</dcterms:created>
  <dcterms:modified xsi:type="dcterms:W3CDTF">2023-12-07T21:38:15Z</dcterms:modified>
</cp:coreProperties>
</file>